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捗一覧" sheetId="1" state="visible" r:id="rId1"/>
    <sheet xmlns:r="http://schemas.openxmlformats.org/officeDocument/2006/relationships" name="受験校日程" sheetId="2" state="visible" r:id="rId2"/>
    <sheet xmlns:r="http://schemas.openxmlformats.org/officeDocument/2006/relationships" name="チェック項目" sheetId="3" state="visible" r:id="rId3"/>
  </sheets>
  <definedNames>
    <definedName name="_xlnm.Print_Titles" localSheetId="0">'進捗一覧'!$4:$4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5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9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7" customWidth="1" min="17" max="17"/>
    <col width="8" customWidth="1" min="18" max="18"/>
  </cols>
  <sheetData>
    <row r="1">
      <c r="A1" s="1" t="inlineStr">
        <is>
          <t>私立高校 Web出願 チェックシート　進捗一覧</t>
        </is>
      </c>
    </row>
    <row r="2">
      <c r="A2" s="2" t="inlineStr">
        <is>
          <t>各欄で「済・未・要確認」を選びます。「要確認」は赤、「済」は緑で表示されます。</t>
        </is>
      </c>
    </row>
    <row r="4" ht="56" customHeight="1">
      <c r="A4" s="3" t="inlineStr">
        <is>
          <t>番号</t>
        </is>
      </c>
      <c r="B4" s="3" t="inlineStr">
        <is>
          <t>氏名</t>
        </is>
      </c>
      <c r="C4" s="3" t="inlineStr">
        <is>
          <t>受験校</t>
        </is>
      </c>
      <c r="D4" s="3" t="inlineStr">
        <is>
          <t>入試区分</t>
        </is>
      </c>
      <c r="E4" s="3" t="inlineStr">
        <is>
          <t>住所確認
11/20</t>
        </is>
      </c>
      <c r="F4" s="3" t="inlineStr">
        <is>
          <t>説明会
11/27</t>
        </is>
      </c>
      <c r="G4" s="3" t="inlineStr">
        <is>
          <t>手書き下書き
11/27</t>
        </is>
      </c>
      <c r="H4" s="3" t="inlineStr">
        <is>
          <t>オンライン下書き
12/1〜3</t>
        </is>
      </c>
      <c r="I4" s="3" t="inlineStr">
        <is>
          <t>下書き印刷
12/1〜3</t>
        </is>
      </c>
      <c r="J4" s="3" t="inlineStr">
        <is>
          <t>担当チェック
12/4</t>
        </is>
      </c>
      <c r="K4" s="3" t="inlineStr">
        <is>
          <t>修正
12/4〜10</t>
        </is>
      </c>
      <c r="L4" s="3" t="inlineStr">
        <is>
          <t>出願確定
12/4〜10</t>
        </is>
      </c>
      <c r="M4" s="3" t="inlineStr">
        <is>
          <t>受験料支払
12/4〜10</t>
        </is>
      </c>
      <c r="N4" s="3" t="inlineStr">
        <is>
          <t>志願票等の印刷
12/4〜10</t>
        </is>
      </c>
      <c r="O4" s="3" t="inlineStr">
        <is>
          <t>学校へ提出
12/11</t>
        </is>
      </c>
      <c r="P4" s="3" t="inlineStr">
        <is>
          <t>提出書類確認
12/11</t>
        </is>
      </c>
      <c r="Q4" s="3" t="inlineStr">
        <is>
          <t>完了数</t>
        </is>
      </c>
      <c r="R4" s="3" t="inlineStr">
        <is>
          <t>進み具合</t>
        </is>
      </c>
    </row>
    <row r="5">
      <c r="A5" s="4" t="n">
        <v>1</v>
      </c>
      <c r="B5" s="5" t="n"/>
      <c r="C5" s="5" t="n"/>
      <c r="D5" s="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>
        <f>IF(B5="","",COUNTIF(E5:P5,"済"))</f>
        <v/>
      </c>
      <c r="R5" s="6">
        <f>IF(B5="","",Q5/12)</f>
        <v/>
      </c>
    </row>
    <row r="6">
      <c r="A6" s="4" t="n">
        <v>2</v>
      </c>
      <c r="B6" s="5" t="n"/>
      <c r="C6" s="5" t="n"/>
      <c r="D6" s="5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>
        <f>IF(B6="","",COUNTIF(E6:P6,"済"))</f>
        <v/>
      </c>
      <c r="R6" s="6">
        <f>IF(B6="","",Q6/12)</f>
        <v/>
      </c>
    </row>
    <row r="7">
      <c r="A7" s="4" t="n">
        <v>3</v>
      </c>
      <c r="B7" s="5" t="n"/>
      <c r="C7" s="5" t="n"/>
      <c r="D7" s="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>
        <f>IF(B7="","",COUNTIF(E7:P7,"済"))</f>
        <v/>
      </c>
      <c r="R7" s="6">
        <f>IF(B7="","",Q7/12)</f>
        <v/>
      </c>
    </row>
    <row r="8">
      <c r="A8" s="4" t="n">
        <v>4</v>
      </c>
      <c r="B8" s="5" t="n"/>
      <c r="C8" s="5" t="n"/>
      <c r="D8" s="5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>
        <f>IF(B8="","",COUNTIF(E8:P8,"済"))</f>
        <v/>
      </c>
      <c r="R8" s="6">
        <f>IF(B8="","",Q8/12)</f>
        <v/>
      </c>
    </row>
    <row r="9">
      <c r="A9" s="4" t="n">
        <v>5</v>
      </c>
      <c r="B9" s="5" t="n"/>
      <c r="C9" s="5" t="n"/>
      <c r="D9" s="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>
        <f>IF(B9="","",COUNTIF(E9:P9,"済"))</f>
        <v/>
      </c>
      <c r="R9" s="6">
        <f>IF(B9="","",Q9/12)</f>
        <v/>
      </c>
    </row>
    <row r="10">
      <c r="A10" s="4" t="n">
        <v>6</v>
      </c>
      <c r="B10" s="5" t="n"/>
      <c r="C10" s="5" t="n"/>
      <c r="D10" s="5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>
        <f>IF(B10="","",COUNTIF(E10:P10,"済"))</f>
        <v/>
      </c>
      <c r="R10" s="6">
        <f>IF(B10="","",Q10/12)</f>
        <v/>
      </c>
    </row>
    <row r="11">
      <c r="A11" s="4" t="n">
        <v>7</v>
      </c>
      <c r="B11" s="5" t="n"/>
      <c r="C11" s="5" t="n"/>
      <c r="D11" s="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>
        <f>IF(B11="","",COUNTIF(E11:P11,"済"))</f>
        <v/>
      </c>
      <c r="R11" s="6">
        <f>IF(B11="","",Q11/12)</f>
        <v/>
      </c>
    </row>
    <row r="12">
      <c r="A12" s="4" t="n">
        <v>8</v>
      </c>
      <c r="B12" s="5" t="n"/>
      <c r="C12" s="5" t="n"/>
      <c r="D12" s="5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>
        <f>IF(B12="","",COUNTIF(E12:P12,"済"))</f>
        <v/>
      </c>
      <c r="R12" s="6">
        <f>IF(B12="","",Q12/12)</f>
        <v/>
      </c>
    </row>
    <row r="13">
      <c r="A13" s="4" t="n">
        <v>9</v>
      </c>
      <c r="B13" s="5" t="n"/>
      <c r="C13" s="5" t="n"/>
      <c r="D13" s="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>
        <f>IF(B13="","",COUNTIF(E13:P13,"済"))</f>
        <v/>
      </c>
      <c r="R13" s="6">
        <f>IF(B13="","",Q13/12)</f>
        <v/>
      </c>
    </row>
    <row r="14">
      <c r="A14" s="4" t="n">
        <v>10</v>
      </c>
      <c r="B14" s="5" t="n"/>
      <c r="C14" s="5" t="n"/>
      <c r="D14" s="5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>
        <f>IF(B14="","",COUNTIF(E14:P14,"済"))</f>
        <v/>
      </c>
      <c r="R14" s="6">
        <f>IF(B14="","",Q14/12)</f>
        <v/>
      </c>
    </row>
    <row r="15">
      <c r="A15" s="4" t="n">
        <v>11</v>
      </c>
      <c r="B15" s="5" t="n"/>
      <c r="C15" s="5" t="n"/>
      <c r="D15" s="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>
        <f>IF(B15="","",COUNTIF(E15:P15,"済"))</f>
        <v/>
      </c>
      <c r="R15" s="6">
        <f>IF(B15="","",Q15/12)</f>
        <v/>
      </c>
    </row>
    <row r="16">
      <c r="A16" s="4" t="n">
        <v>12</v>
      </c>
      <c r="B16" s="5" t="n"/>
      <c r="C16" s="5" t="n"/>
      <c r="D16" s="5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>
        <f>IF(B16="","",COUNTIF(E16:P16,"済"))</f>
        <v/>
      </c>
      <c r="R16" s="6">
        <f>IF(B16="","",Q16/12)</f>
        <v/>
      </c>
    </row>
    <row r="17">
      <c r="A17" s="4" t="n">
        <v>13</v>
      </c>
      <c r="B17" s="5" t="n"/>
      <c r="C17" s="5" t="n"/>
      <c r="D17" s="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>
        <f>IF(B17="","",COUNTIF(E17:P17,"済"))</f>
        <v/>
      </c>
      <c r="R17" s="6">
        <f>IF(B17="","",Q17/12)</f>
        <v/>
      </c>
    </row>
    <row r="18">
      <c r="A18" s="4" t="n">
        <v>14</v>
      </c>
      <c r="B18" s="5" t="n"/>
      <c r="C18" s="5" t="n"/>
      <c r="D18" s="5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>
        <f>IF(B18="","",COUNTIF(E18:P18,"済"))</f>
        <v/>
      </c>
      <c r="R18" s="6">
        <f>IF(B18="","",Q18/12)</f>
        <v/>
      </c>
    </row>
    <row r="19">
      <c r="A19" s="4" t="n">
        <v>15</v>
      </c>
      <c r="B19" s="5" t="n"/>
      <c r="C19" s="5" t="n"/>
      <c r="D19" s="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>
        <f>IF(B19="","",COUNTIF(E19:P19,"済"))</f>
        <v/>
      </c>
      <c r="R19" s="6">
        <f>IF(B19="","",Q19/12)</f>
        <v/>
      </c>
    </row>
    <row r="20">
      <c r="A20" s="4" t="n">
        <v>16</v>
      </c>
      <c r="B20" s="5" t="n"/>
      <c r="C20" s="5" t="n"/>
      <c r="D20" s="5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>
        <f>IF(B20="","",COUNTIF(E20:P20,"済"))</f>
        <v/>
      </c>
      <c r="R20" s="6">
        <f>IF(B20="","",Q20/12)</f>
        <v/>
      </c>
    </row>
    <row r="21">
      <c r="A21" s="4" t="n">
        <v>17</v>
      </c>
      <c r="B21" s="5" t="n"/>
      <c r="C21" s="5" t="n"/>
      <c r="D21" s="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>
        <f>IF(B21="","",COUNTIF(E21:P21,"済"))</f>
        <v/>
      </c>
      <c r="R21" s="6">
        <f>IF(B21="","",Q21/12)</f>
        <v/>
      </c>
    </row>
    <row r="22">
      <c r="A22" s="4" t="n">
        <v>18</v>
      </c>
      <c r="B22" s="5" t="n"/>
      <c r="C22" s="5" t="n"/>
      <c r="D22" s="5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>
        <f>IF(B22="","",COUNTIF(E22:P22,"済"))</f>
        <v/>
      </c>
      <c r="R22" s="6">
        <f>IF(B22="","",Q22/12)</f>
        <v/>
      </c>
    </row>
    <row r="23">
      <c r="A23" s="4" t="n">
        <v>19</v>
      </c>
      <c r="B23" s="5" t="n"/>
      <c r="C23" s="5" t="n"/>
      <c r="D23" s="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>
        <f>IF(B23="","",COUNTIF(E23:P23,"済"))</f>
        <v/>
      </c>
      <c r="R23" s="6">
        <f>IF(B23="","",Q23/12)</f>
        <v/>
      </c>
    </row>
    <row r="24">
      <c r="A24" s="4" t="n">
        <v>20</v>
      </c>
      <c r="B24" s="5" t="n"/>
      <c r="C24" s="5" t="n"/>
      <c r="D24" s="5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>
        <f>IF(B24="","",COUNTIF(E24:P24,"済"))</f>
        <v/>
      </c>
      <c r="R24" s="6">
        <f>IF(B24="","",Q24/12)</f>
        <v/>
      </c>
    </row>
    <row r="25">
      <c r="A25" s="4" t="n">
        <v>21</v>
      </c>
      <c r="B25" s="5" t="n"/>
      <c r="C25" s="5" t="n"/>
      <c r="D25" s="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>
        <f>IF(B25="","",COUNTIF(E25:P25,"済"))</f>
        <v/>
      </c>
      <c r="R25" s="6">
        <f>IF(B25="","",Q25/12)</f>
        <v/>
      </c>
    </row>
    <row r="26">
      <c r="A26" s="4" t="n">
        <v>22</v>
      </c>
      <c r="B26" s="5" t="n"/>
      <c r="C26" s="5" t="n"/>
      <c r="D26" s="5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>
        <f>IF(B26="","",COUNTIF(E26:P26,"済"))</f>
        <v/>
      </c>
      <c r="R26" s="6">
        <f>IF(B26="","",Q26/12)</f>
        <v/>
      </c>
    </row>
    <row r="27">
      <c r="A27" s="4" t="n">
        <v>23</v>
      </c>
      <c r="B27" s="5" t="n"/>
      <c r="C27" s="5" t="n"/>
      <c r="D27" s="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>
        <f>IF(B27="","",COUNTIF(E27:P27,"済"))</f>
        <v/>
      </c>
      <c r="R27" s="6">
        <f>IF(B27="","",Q27/12)</f>
        <v/>
      </c>
    </row>
    <row r="28">
      <c r="A28" s="4" t="n">
        <v>24</v>
      </c>
      <c r="B28" s="5" t="n"/>
      <c r="C28" s="5" t="n"/>
      <c r="D28" s="5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>
        <f>IF(B28="","",COUNTIF(E28:P28,"済"))</f>
        <v/>
      </c>
      <c r="R28" s="6">
        <f>IF(B28="","",Q28/12)</f>
        <v/>
      </c>
    </row>
    <row r="29">
      <c r="A29" s="4" t="n">
        <v>25</v>
      </c>
      <c r="B29" s="5" t="n"/>
      <c r="C29" s="5" t="n"/>
      <c r="D29" s="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>
        <f>IF(B29="","",COUNTIF(E29:P29,"済"))</f>
        <v/>
      </c>
      <c r="R29" s="6">
        <f>IF(B29="","",Q29/12)</f>
        <v/>
      </c>
    </row>
    <row r="30">
      <c r="A30" s="4" t="n">
        <v>26</v>
      </c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>
        <f>IF(B30="","",COUNTIF(E30:P30,"済"))</f>
        <v/>
      </c>
      <c r="R30" s="6">
        <f>IF(B30="","",Q30/12)</f>
        <v/>
      </c>
    </row>
    <row r="31">
      <c r="A31" s="4" t="n">
        <v>27</v>
      </c>
      <c r="B31" s="5" t="n"/>
      <c r="C31" s="5" t="n"/>
      <c r="D31" s="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>
        <f>IF(B31="","",COUNTIF(E31:P31,"済"))</f>
        <v/>
      </c>
      <c r="R31" s="6">
        <f>IF(B31="","",Q31/12)</f>
        <v/>
      </c>
    </row>
    <row r="32">
      <c r="A32" s="4" t="n">
        <v>28</v>
      </c>
      <c r="B32" s="5" t="n"/>
      <c r="C32" s="5" t="n"/>
      <c r="D32" s="5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>
        <f>IF(B32="","",COUNTIF(E32:P32,"済"))</f>
        <v/>
      </c>
      <c r="R32" s="6">
        <f>IF(B32="","",Q32/12)</f>
        <v/>
      </c>
    </row>
    <row r="33">
      <c r="A33" s="4" t="n">
        <v>29</v>
      </c>
      <c r="B33" s="5" t="n"/>
      <c r="C33" s="5" t="n"/>
      <c r="D33" s="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>
        <f>IF(B33="","",COUNTIF(E33:P33,"済"))</f>
        <v/>
      </c>
      <c r="R33" s="6">
        <f>IF(B33="","",Q33/12)</f>
        <v/>
      </c>
    </row>
    <row r="34">
      <c r="A34" s="4" t="n">
        <v>30</v>
      </c>
      <c r="B34" s="5" t="n"/>
      <c r="C34" s="5" t="n"/>
      <c r="D34" s="5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>
        <f>IF(B34="","",COUNTIF(E34:P34,"済"))</f>
        <v/>
      </c>
      <c r="R34" s="6">
        <f>IF(B34="","",Q34/12)</f>
        <v/>
      </c>
    </row>
    <row r="35">
      <c r="A35" s="4" t="n">
        <v>31</v>
      </c>
      <c r="B35" s="5" t="n"/>
      <c r="C35" s="5" t="n"/>
      <c r="D35" s="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>
        <f>IF(B35="","",COUNTIF(E35:P35,"済"))</f>
        <v/>
      </c>
      <c r="R35" s="6">
        <f>IF(B35="","",Q35/12)</f>
        <v/>
      </c>
    </row>
    <row r="36">
      <c r="A36" s="4" t="n">
        <v>32</v>
      </c>
      <c r="B36" s="5" t="n"/>
      <c r="C36" s="5" t="n"/>
      <c r="D36" s="5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>
        <f>IF(B36="","",COUNTIF(E36:P36,"済"))</f>
        <v/>
      </c>
      <c r="R36" s="6">
        <f>IF(B36="","",Q36/12)</f>
        <v/>
      </c>
    </row>
    <row r="37">
      <c r="A37" s="4" t="n">
        <v>33</v>
      </c>
      <c r="B37" s="5" t="n"/>
      <c r="C37" s="5" t="n"/>
      <c r="D37" s="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>
        <f>IF(B37="","",COUNTIF(E37:P37,"済"))</f>
        <v/>
      </c>
      <c r="R37" s="6">
        <f>IF(B37="","",Q37/12)</f>
        <v/>
      </c>
    </row>
    <row r="38">
      <c r="A38" s="4" t="n">
        <v>34</v>
      </c>
      <c r="B38" s="5" t="n"/>
      <c r="C38" s="5" t="n"/>
      <c r="D38" s="5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>
        <f>IF(B38="","",COUNTIF(E38:P38,"済"))</f>
        <v/>
      </c>
      <c r="R38" s="6">
        <f>IF(B38="","",Q38/12)</f>
        <v/>
      </c>
    </row>
    <row r="39">
      <c r="A39" s="4" t="n">
        <v>35</v>
      </c>
      <c r="B39" s="5" t="n"/>
      <c r="C39" s="5" t="n"/>
      <c r="D39" s="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>
        <f>IF(B39="","",COUNTIF(E39:P39,"済"))</f>
        <v/>
      </c>
      <c r="R39" s="6">
        <f>IF(B39="","",Q39/12)</f>
        <v/>
      </c>
    </row>
    <row r="40">
      <c r="A40" s="4" t="n">
        <v>36</v>
      </c>
      <c r="B40" s="5" t="n"/>
      <c r="C40" s="5" t="n"/>
      <c r="D40" s="5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>
        <f>IF(B40="","",COUNTIF(E40:P40,"済"))</f>
        <v/>
      </c>
      <c r="R40" s="6">
        <f>IF(B40="","",Q40/12)</f>
        <v/>
      </c>
    </row>
    <row r="41">
      <c r="A41" s="4" t="n">
        <v>37</v>
      </c>
      <c r="B41" s="5" t="n"/>
      <c r="C41" s="5" t="n"/>
      <c r="D41" s="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>
        <f>IF(B41="","",COUNTIF(E41:P41,"済"))</f>
        <v/>
      </c>
      <c r="R41" s="6">
        <f>IF(B41="","",Q41/12)</f>
        <v/>
      </c>
    </row>
    <row r="42">
      <c r="A42" s="4" t="n">
        <v>38</v>
      </c>
      <c r="B42" s="5" t="n"/>
      <c r="C42" s="5" t="n"/>
      <c r="D42" s="5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>
        <f>IF(B42="","",COUNTIF(E42:P42,"済"))</f>
        <v/>
      </c>
      <c r="R42" s="6">
        <f>IF(B42="","",Q42/12)</f>
        <v/>
      </c>
    </row>
    <row r="43">
      <c r="A43" s="4" t="n">
        <v>39</v>
      </c>
      <c r="B43" s="5" t="n"/>
      <c r="C43" s="5" t="n"/>
      <c r="D43" s="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>
        <f>IF(B43="","",COUNTIF(E43:P43,"済"))</f>
        <v/>
      </c>
      <c r="R43" s="6">
        <f>IF(B43="","",Q43/12)</f>
        <v/>
      </c>
    </row>
    <row r="44">
      <c r="A44" s="4" t="n">
        <v>40</v>
      </c>
      <c r="B44" s="5" t="n"/>
      <c r="C44" s="5" t="n"/>
      <c r="D44" s="5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>
        <f>IF(B44="","",COUNTIF(E44:P44,"済"))</f>
        <v/>
      </c>
      <c r="R44" s="6">
        <f>IF(B44="","",Q44/12)</f>
        <v/>
      </c>
    </row>
    <row r="45">
      <c r="A45" s="7" t="inlineStr">
        <is>
          <t>済の人数</t>
        </is>
      </c>
      <c r="B45" s="8" t="n"/>
      <c r="C45" s="8" t="n"/>
      <c r="D45" s="9" t="n"/>
      <c r="E45" s="10">
        <f>COUNTIF(E5:E44,"済")</f>
        <v/>
      </c>
      <c r="F45" s="10">
        <f>COUNTIF(F5:F44,"済")</f>
        <v/>
      </c>
      <c r="G45" s="10">
        <f>COUNTIF(G5:G44,"済")</f>
        <v/>
      </c>
      <c r="H45" s="10">
        <f>COUNTIF(H5:H44,"済")</f>
        <v/>
      </c>
      <c r="I45" s="10">
        <f>COUNTIF(I5:I44,"済")</f>
        <v/>
      </c>
      <c r="J45" s="10">
        <f>COUNTIF(J5:J44,"済")</f>
        <v/>
      </c>
      <c r="K45" s="10">
        <f>COUNTIF(K5:K44,"済")</f>
        <v/>
      </c>
      <c r="L45" s="10">
        <f>COUNTIF(L5:L44,"済")</f>
        <v/>
      </c>
      <c r="M45" s="10">
        <f>COUNTIF(M5:M44,"済")</f>
        <v/>
      </c>
      <c r="N45" s="10">
        <f>COUNTIF(N5:N44,"済")</f>
        <v/>
      </c>
      <c r="O45" s="10">
        <f>COUNTIF(O5:O44,"済")</f>
        <v/>
      </c>
      <c r="P45" s="10">
        <f>COUNTIF(P5:P44,"済")</f>
        <v/>
      </c>
    </row>
  </sheetData>
  <mergeCells count="1">
    <mergeCell ref="A45:D45"/>
  </mergeCells>
  <conditionalFormatting sqref="E5:P44">
    <cfRule type="cellIs" priority="1" operator="equal" dxfId="0">
      <formula>"済"</formula>
    </cfRule>
    <cfRule type="cellIs" priority="2" operator="equal" dxfId="1">
      <formula>"要確認"</formula>
    </cfRule>
  </conditionalFormatting>
  <conditionalFormatting sqref="R5:R44">
    <cfRule type="expression" priority="3" dxfId="2">
      <formula>AND(ISNUMBER(R5),R5=1)</formula>
    </cfRule>
  </conditionalFormatting>
  <dataValidations count="2">
    <dataValidation sqref="E5:P44" showDropDown="0" showInputMessage="0" showErrorMessage="0" allowBlank="1" type="list">
      <formula1>"済,未,要確認"</formula1>
    </dataValidation>
    <dataValidation sqref="D5:D44" showDropDown="0" showInputMessage="0" showErrorMessage="0" allowBlank="1" type="list">
      <formula1>"推薦,専願,一般"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14" customWidth="1" min="5" max="5"/>
    <col width="11" customWidth="1" min="6" max="6"/>
    <col width="11" customWidth="1" min="7" max="7"/>
    <col width="14" customWidth="1" min="8" max="8"/>
    <col width="14" customWidth="1" min="9" max="9"/>
    <col width="14" customWidth="1" min="10" max="10"/>
    <col width="9" customWidth="1" min="11" max="11"/>
    <col width="24" customWidth="1" min="12" max="12"/>
  </cols>
  <sheetData>
    <row r="1">
      <c r="A1" s="1" t="inlineStr">
        <is>
          <t>受験校ごとの日程（募集要項から転記）</t>
        </is>
      </c>
    </row>
    <row r="3" ht="32" customHeight="1">
      <c r="A3" s="3" t="inlineStr">
        <is>
          <t>高校名</t>
        </is>
      </c>
      <c r="B3" s="3" t="inlineStr">
        <is>
          <t>学科・コース</t>
        </is>
      </c>
      <c r="C3" s="3" t="inlineStr">
        <is>
          <t>入試区分</t>
        </is>
      </c>
      <c r="D3" s="3" t="inlineStr">
        <is>
          <t>出願期間</t>
        </is>
      </c>
      <c r="E3" s="3" t="inlineStr">
        <is>
          <t>受験料の支払期限</t>
        </is>
      </c>
      <c r="F3" s="3" t="inlineStr">
        <is>
          <t>試験日</t>
        </is>
      </c>
      <c r="G3" s="3" t="inlineStr">
        <is>
          <t>合格発表</t>
        </is>
      </c>
      <c r="H3" s="3" t="inlineStr">
        <is>
          <t>入学手続の締切</t>
        </is>
      </c>
      <c r="I3" s="3" t="inlineStr">
        <is>
          <t>事前入力の開始日</t>
        </is>
      </c>
      <c r="J3" s="3" t="inlineStr">
        <is>
          <t>中学校の校内締切</t>
        </is>
      </c>
      <c r="K3" s="3" t="inlineStr">
        <is>
          <t>受験者数</t>
        </is>
      </c>
      <c r="L3" s="3" t="inlineStr">
        <is>
          <t>メモ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4">
        <f>IF(A4="","",COUNTIF(進捗一覧!$C$5:$C$44,A4))</f>
        <v/>
      </c>
      <c r="L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4">
        <f>IF(A5="","",COUNTIF(進捗一覧!$C$5:$C$44,A5))</f>
        <v/>
      </c>
      <c r="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4">
        <f>IF(A6="","",COUNTIF(進捗一覧!$C$5:$C$44,A6))</f>
        <v/>
      </c>
      <c r="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4">
        <f>IF(A7="","",COUNTIF(進捗一覧!$C$5:$C$44,A7))</f>
        <v/>
      </c>
      <c r="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4">
        <f>IF(A8="","",COUNTIF(進捗一覧!$C$5:$C$44,A8))</f>
        <v/>
      </c>
      <c r="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4">
        <f>IF(A9="","",COUNTIF(進捗一覧!$C$5:$C$44,A9))</f>
        <v/>
      </c>
      <c r="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4">
        <f>IF(A10="","",COUNTIF(進捗一覧!$C$5:$C$44,A10))</f>
        <v/>
      </c>
      <c r="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4">
        <f>IF(A11="","",COUNTIF(進捗一覧!$C$5:$C$44,A11))</f>
        <v/>
      </c>
      <c r="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4">
        <f>IF(A12="","",COUNTIF(進捗一覧!$C$5:$C$44,A12))</f>
        <v/>
      </c>
      <c r="L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4">
        <f>IF(A13="","",COUNTIF(進捗一覧!$C$5:$C$44,A13))</f>
        <v/>
      </c>
      <c r="L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4">
        <f>IF(A14="","",COUNTIF(進捗一覧!$C$5:$C$44,A14))</f>
        <v/>
      </c>
      <c r="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4">
        <f>IF(A15="","",COUNTIF(進捗一覧!$C$5:$C$44,A15))</f>
        <v/>
      </c>
      <c r="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4">
        <f>IF(A16="","",COUNTIF(進捗一覧!$C$5:$C$44,A16))</f>
        <v/>
      </c>
      <c r="L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4">
        <f>IF(A17="","",COUNTIF(進捗一覧!$C$5:$C$44,A17))</f>
        <v/>
      </c>
      <c r="L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4">
        <f>IF(A18="","",COUNTIF(進捗一覧!$C$5:$C$44,A18))</f>
        <v/>
      </c>
      <c r="L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4">
        <f>IF(A19="","",COUNTIF(進捗一覧!$C$5:$C$44,A19))</f>
        <v/>
      </c>
      <c r="L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4">
        <f>IF(A20="","",COUNTIF(進捗一覧!$C$5:$C$44,A20))</f>
        <v/>
      </c>
      <c r="L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4">
        <f>IF(A21="","",COUNTIF(進捗一覧!$C$5:$C$44,A21))</f>
        <v/>
      </c>
      <c r="L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4">
        <f>IF(A22="","",COUNTIF(進捗一覧!$C$5:$C$44,A22))</f>
        <v/>
      </c>
      <c r="L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4">
        <f>IF(A23="","",COUNTIF(進捗一覧!$C$5:$C$44,A23))</f>
        <v/>
      </c>
      <c r="L23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" customWidth="1" min="1" max="1"/>
    <col width="64" customWidth="1" min="2" max="2"/>
    <col width="34" customWidth="1" min="3" max="3"/>
    <col width="9" customWidth="1" min="4" max="4"/>
  </cols>
  <sheetData>
    <row r="1">
      <c r="A1" s="1" t="inlineStr">
        <is>
          <t>チェック項目一覧（生徒配布用シートと同じ内容）</t>
        </is>
      </c>
    </row>
    <row r="3">
      <c r="A3" s="3" t="inlineStr">
        <is>
          <t>No</t>
        </is>
      </c>
      <c r="B3" s="3" t="inlineStr">
        <is>
          <t>確認項目</t>
        </is>
      </c>
      <c r="C3" s="3" t="inlineStr">
        <is>
          <t>補足・メモ</t>
        </is>
      </c>
      <c r="D3" s="3" t="inlineStr">
        <is>
          <t>先生確認</t>
        </is>
      </c>
    </row>
    <row r="4">
      <c r="A4" s="7" t="inlineStr">
        <is>
          <t>住所を確認する</t>
        </is>
      </c>
      <c r="B4" s="7" t="n"/>
      <c r="C4" s="7" t="n"/>
      <c r="D4" s="7" t="n"/>
    </row>
    <row r="5">
      <c r="A5" s="4" t="n">
        <v>1</v>
      </c>
      <c r="B5" s="11" t="inlineStr">
        <is>
          <t>郵便番号と住所を、番地・建物名・部屋番号まで確認した</t>
        </is>
      </c>
      <c r="C5" s="12" t="inlineStr">
        <is>
          <t>住民票などで確認</t>
        </is>
      </c>
      <c r="D5" s="4" t="inlineStr">
        <is>
          <t>○</t>
        </is>
      </c>
    </row>
    <row r="6">
      <c r="A6" s="4" t="n">
        <v>2</v>
      </c>
      <c r="B6" s="11" t="inlineStr">
        <is>
          <t>氏名・ふりがな・生年月日の正しい書き方を確認した</t>
        </is>
      </c>
      <c r="C6" s="12" t="inlineStr">
        <is>
          <t>旧字体・外字は担任に相談</t>
        </is>
      </c>
      <c r="D6" s="4" t="inlineStr">
        <is>
          <t>○</t>
        </is>
      </c>
    </row>
    <row r="7">
      <c r="A7" s="4" t="n">
        <v>3</v>
      </c>
      <c r="B7" s="11" t="inlineStr">
        <is>
          <t>保護者の氏名・連絡先と、出願に使うメールアドレスを確認した</t>
        </is>
      </c>
      <c r="C7" s="12" t="inlineStr"/>
      <c r="D7" s="4" t="inlineStr"/>
    </row>
    <row r="8">
      <c r="A8" s="7" t="inlineStr">
        <is>
          <t>説明を聞き、手書きで下書きする</t>
        </is>
      </c>
      <c r="B8" s="7" t="n"/>
      <c r="C8" s="7" t="n"/>
      <c r="D8" s="7" t="n"/>
    </row>
    <row r="9">
      <c r="A9" s="4" t="n">
        <v>4</v>
      </c>
      <c r="B9" s="11" t="inlineStr">
        <is>
          <t>担当の先生から出願の仕方の説明を聞き、手書きの下書きを書いた</t>
        </is>
      </c>
      <c r="C9" s="12" t="inlineStr"/>
      <c r="D9" s="4" t="inlineStr">
        <is>
          <t>○</t>
        </is>
      </c>
    </row>
    <row r="10">
      <c r="A10" s="4" t="n">
        <v>5</v>
      </c>
      <c r="B10" s="11" t="inlineStr">
        <is>
          <t>受験校の日程を表に書き、出願期間が本校の日程と合っているか確認した</t>
        </is>
      </c>
      <c r="C10" s="12" t="inlineStr">
        <is>
          <t>違う場合は先生の指示に従う</t>
        </is>
      </c>
      <c r="D10" s="4" t="inlineStr">
        <is>
          <t>○</t>
        </is>
      </c>
    </row>
    <row r="11">
      <c r="A11" s="7" t="inlineStr">
        <is>
          <t>家庭でオンラインの下書きをする</t>
        </is>
      </c>
      <c r="B11" s="7" t="n"/>
      <c r="C11" s="7" t="n"/>
      <c r="D11" s="7" t="n"/>
    </row>
    <row r="12">
      <c r="A12" s="4" t="n">
        <v>6</v>
      </c>
      <c r="B12" s="11" t="inlineStr">
        <is>
          <t>下書きを家に持ち帰り、保護者に見せた</t>
        </is>
      </c>
      <c r="C12" s="12" t="inlineStr"/>
      <c r="D12" s="4" t="inlineStr"/>
    </row>
    <row r="13">
      <c r="A13" s="4" t="n">
        <v>7</v>
      </c>
      <c r="B13" s="11" t="inlineStr">
        <is>
          <t>メールの受信設定と利用者登録をし、IDとパスワードを控えた</t>
        </is>
      </c>
      <c r="C13" s="12" t="inlineStr"/>
      <c r="D13" s="4" t="inlineStr"/>
    </row>
    <row r="14">
      <c r="A14" s="4" t="n">
        <v>8</v>
      </c>
      <c r="B14" s="11" t="inlineStr">
        <is>
          <t>保護者と一緒に出願内容を入力した（写真をアップロードする高校は写真も）</t>
        </is>
      </c>
      <c r="C14" s="12" t="inlineStr"/>
      <c r="D14" s="4" t="inlineStr"/>
    </row>
    <row r="15">
      <c r="A15" s="4" t="n">
        <v>9</v>
      </c>
      <c r="B15" s="11" t="inlineStr">
        <is>
          <t>受験料はまだ振り込まない（出願も確定しない）</t>
        </is>
      </c>
      <c r="C15" s="12" t="inlineStr">
        <is>
          <t>12月4日の下書きチェック後に支払う</t>
        </is>
      </c>
      <c r="D15" s="4" t="inlineStr"/>
    </row>
    <row r="16">
      <c r="A16" s="4" t="n">
        <v>10</v>
      </c>
      <c r="B16" s="11" t="inlineStr">
        <is>
          <t>入力した内容（下書き）を印刷した</t>
        </is>
      </c>
      <c r="C16" s="12" t="inlineStr">
        <is>
          <t>コンビニのプリントも可</t>
        </is>
      </c>
      <c r="D16" s="4" t="inlineStr"/>
    </row>
    <row r="17">
      <c r="A17" s="7" t="inlineStr">
        <is>
          <t>下書きのチェックを受ける</t>
        </is>
      </c>
      <c r="B17" s="7" t="n"/>
      <c r="C17" s="7" t="n"/>
      <c r="D17" s="7" t="n"/>
    </row>
    <row r="18">
      <c r="A18" s="4" t="n">
        <v>11</v>
      </c>
      <c r="B18" s="11" t="inlineStr">
        <is>
          <t>印刷した下書きを持ってきて、担当の先生にチェックしてもらった</t>
        </is>
      </c>
      <c r="C18" s="12" t="inlineStr">
        <is>
          <t>直すところを赤で書く</t>
        </is>
      </c>
      <c r="D18" s="4" t="inlineStr">
        <is>
          <t>○</t>
        </is>
      </c>
    </row>
    <row r="19">
      <c r="A19" s="7" t="inlineStr">
        <is>
          <t>家庭でオンライン出願をする</t>
        </is>
      </c>
      <c r="B19" s="7" t="n"/>
      <c r="C19" s="7" t="n"/>
      <c r="D19" s="7" t="n"/>
    </row>
    <row r="20">
      <c r="A20" s="4" t="n">
        <v>12</v>
      </c>
      <c r="B20" s="11" t="inlineStr">
        <is>
          <t>直すところを直し、保護者と最終確認をして出願を確定した</t>
        </is>
      </c>
      <c r="C20" s="12" t="inlineStr">
        <is>
          <t>確定後は直せないことがある</t>
        </is>
      </c>
      <c r="D20" s="4" t="inlineStr"/>
    </row>
    <row r="21">
      <c r="A21" s="4" t="n">
        <v>13</v>
      </c>
      <c r="B21" s="11" t="inlineStr">
        <is>
          <t>受験料を期限内に支払い、完了メールと受付番号を確認した</t>
        </is>
      </c>
      <c r="C21" s="12" t="inlineStr">
        <is>
          <t>支払期限は高校ごとに確認</t>
        </is>
      </c>
      <c r="D21" s="4" t="inlineStr"/>
    </row>
    <row r="22">
      <c r="A22" s="4" t="n">
        <v>14</v>
      </c>
      <c r="B22" s="11" t="inlineStr">
        <is>
          <t>志願票と受験票を印刷した（写真を貼る高校は志願票に写真を貼った）</t>
        </is>
      </c>
      <c r="C22" s="12" t="inlineStr">
        <is>
          <t>用紙・サイズの指定に注意</t>
        </is>
      </c>
      <c r="D22" s="4" t="inlineStr"/>
    </row>
    <row r="23">
      <c r="A23" s="7" t="inlineStr">
        <is>
          <t>志願票と受験票を学校へ提出する</t>
        </is>
      </c>
      <c r="B23" s="7" t="n"/>
      <c r="C23" s="7" t="n"/>
      <c r="D23" s="7" t="n"/>
    </row>
    <row r="24">
      <c r="A24" s="4" t="n">
        <v>15</v>
      </c>
      <c r="B24" s="11" t="inlineStr">
        <is>
          <t>志願票と受験票のコピーを取り、学校に提出した</t>
        </is>
      </c>
      <c r="C24" s="12" t="inlineStr"/>
      <c r="D24" s="4" t="inlineStr">
        <is>
          <t>○</t>
        </is>
      </c>
    </row>
    <row r="25">
      <c r="A25" s="4" t="n">
        <v>16</v>
      </c>
      <c r="B25" s="11" t="inlineStr">
        <is>
          <t>受験番号・試験日・試験会場・集合時刻をメモした</t>
        </is>
      </c>
      <c r="C25" s="12" t="inlineStr"/>
      <c r="D25" s="4" t="inlineStr">
        <is>
          <t>○</t>
        </is>
      </c>
    </row>
    <row r="26">
      <c r="A26" s="7" t="inlineStr">
        <is>
          <t>試験の前に</t>
        </is>
      </c>
      <c r="B26" s="7" t="n"/>
      <c r="C26" s="7" t="n"/>
      <c r="D26" s="7" t="n"/>
    </row>
    <row r="27">
      <c r="A27" s="4" t="n">
        <v>17</v>
      </c>
      <c r="B27" s="11" t="inlineStr">
        <is>
          <t>返してもらった受験票を保管し、交通手段と持ち物を確認した</t>
        </is>
      </c>
      <c r="C27" s="12" t="inlineStr">
        <is>
          <t>受験票は試験前に返却</t>
        </is>
      </c>
      <c r="D27" s="4" t="inlineStr">
        <is>
          <t>○</t>
        </is>
      </c>
    </row>
  </sheetData>
  <mergeCells count="7">
    <mergeCell ref="A17:D17"/>
    <mergeCell ref="A23:D23"/>
    <mergeCell ref="A8:D8"/>
    <mergeCell ref="A4:D4"/>
    <mergeCell ref="A26:D26"/>
    <mergeCell ref="A19:D1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2026-10-26T07:13:49Z</dcterms:created>
  <dcterms:modified xmlns:dcterms="http://purl.org/dc/terms/" xmlns:xsi="http://www.w3.org/2001/XMLSchema-instance" xsi:type="dcterms:W3CDTF">2026-10-26T07:13:49Z</dcterms:modified>
</cp:coreProperties>
</file>